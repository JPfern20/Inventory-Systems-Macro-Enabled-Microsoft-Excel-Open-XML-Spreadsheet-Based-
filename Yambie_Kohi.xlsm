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9CC60900-4D59-4357-BDF7-FC2E6DD4F711}" xr6:coauthVersionLast="47" xr6:coauthVersionMax="47" xr10:uidLastSave="{00000000-0000-0000-0000-000000000000}"/>
  <bookViews>
    <workbookView xWindow="-120" yWindow="-120" windowWidth="29040" windowHeight="16440" xr2:uid="{28A7B3F7-88ED-448E-9248-F728B3139916}"/>
  </bookViews>
  <sheets>
    <sheet name="Sheet1" sheetId="1" r:id="rId1"/>
  </sheets>
  <definedNames>
    <definedName name="_xleta.N" hidden="1" xlm="1">#NAME?</definedName>
    <definedName name="_xleta.NOW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1" i="1" l="1" a="1"/>
  <c r="C21" i="1" s="1"/>
  <c r="E21" i="1"/>
  <c r="E22" i="1"/>
  <c r="B21" i="1" a="1"/>
  <c r="B21" i="1" s="1"/>
  <c r="A21" i="1" a="1"/>
  <c r="A21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<sst xmlns="http://schemas.openxmlformats.org/spreadsheetml/2006/main" count="46" uniqueCount="42">
  <si>
    <t>Supply Inventory</t>
  </si>
  <si>
    <t>Available Stocks</t>
  </si>
  <si>
    <t>Syrups</t>
  </si>
  <si>
    <t>Powder Flavors</t>
  </si>
  <si>
    <t>Cappucino</t>
  </si>
  <si>
    <t>Matcha Iced/Milktea</t>
  </si>
  <si>
    <t>Mocha</t>
  </si>
  <si>
    <t>Candy Pop</t>
  </si>
  <si>
    <t>Cherry Blossom/Strawberry</t>
  </si>
  <si>
    <t>Cookie Dough</t>
  </si>
  <si>
    <t>Creamy Avocado</t>
  </si>
  <si>
    <t>Delish Cheesecake</t>
  </si>
  <si>
    <t>Galaxy Dark Choco</t>
  </si>
  <si>
    <t>Fruit Wintermelon</t>
  </si>
  <si>
    <t>Okinawa sugar</t>
  </si>
  <si>
    <t>Scarlet Rose</t>
  </si>
  <si>
    <t>Luscious Belgian Choco</t>
  </si>
  <si>
    <t>Matcha Frappe</t>
  </si>
  <si>
    <t>Salted Caramel</t>
  </si>
  <si>
    <t>Matcha Base</t>
  </si>
  <si>
    <t>OUT OF STOCK SYRUPS</t>
  </si>
  <si>
    <t>OUT OF STOCK POWDER</t>
  </si>
  <si>
    <t>Brown Sugar</t>
  </si>
  <si>
    <t>ButterScotch</t>
  </si>
  <si>
    <t>Vanilla</t>
  </si>
  <si>
    <t>Hazelnut</t>
  </si>
  <si>
    <t>Chocolate</t>
  </si>
  <si>
    <t>Almond</t>
  </si>
  <si>
    <t>Caramel</t>
  </si>
  <si>
    <t>Passion Fruit</t>
  </si>
  <si>
    <t>Blueberry</t>
  </si>
  <si>
    <t>Green Apple</t>
  </si>
  <si>
    <t>Kiwi</t>
  </si>
  <si>
    <t>Sweetener</t>
  </si>
  <si>
    <t>Espresso</t>
  </si>
  <si>
    <t>Peach Mango</t>
  </si>
  <si>
    <t>Lychee</t>
  </si>
  <si>
    <t>As of Date</t>
  </si>
  <si>
    <t>OUT OF STOCK TOPPINGS</t>
  </si>
  <si>
    <t>Topping Syrups</t>
  </si>
  <si>
    <t>Strawbery</t>
  </si>
  <si>
    <t>Available Stock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</si>
</sst>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6" formatCode="[$-F800]dddd\,\ mmmm\ dd\,\ yyyy"/>
    <numFmt numFmtId="167" formatCode="[$-F400]h:mm:ss\ am/pm"/>
  </numFmts>
  <fonts count="1" x14ac:knownFonts="1">
    <font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7474"/>
        <bgColor indexed="64"/>
      </patternFill>
    </fill>
    <fill>
      <patternFill patternType="solid">
        <fgColor rgb="FFC0FF9D"/>
        <bgColor indexed="64"/>
      </patternFill>
    </fill>
    <fill>
      <patternFill patternType="solid">
        <fgColor rgb="FFFFC6C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0" fillId="3" borderId="1" xfId="0" applyFill="1" applyBorder="1"/>
    <xf numFmtId="0" fontId="0" fillId="3" borderId="2" xfId="0" applyFill="1" applyBorder="1"/>
    <xf numFmtId="0" fontId="0" fillId="7" borderId="2" xfId="0" applyFill="1" applyBorder="1" applyAlignment="1">
      <alignment horizontal="center"/>
    </xf>
    <xf numFmtId="0" fontId="0" fillId="10" borderId="2" xfId="0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5" borderId="4" xfId="0" applyFill="1" applyBorder="1"/>
    <xf numFmtId="0" fontId="0" fillId="7" borderId="0" xfId="0" applyFill="1" applyBorder="1"/>
    <xf numFmtId="0" fontId="0" fillId="2" borderId="0" xfId="0" applyFill="1" applyBorder="1" applyAlignment="1">
      <alignment horizontal="left"/>
    </xf>
    <xf numFmtId="0" fontId="0" fillId="2" borderId="0" xfId="0" applyFill="1" applyBorder="1" applyAlignment="1">
      <alignment horizontal="center"/>
    </xf>
    <xf numFmtId="166" fontId="0" fillId="6" borderId="0" xfId="0" applyNumberFormat="1" applyFill="1" applyBorder="1" applyAlignment="1">
      <alignment horizontal="center"/>
    </xf>
    <xf numFmtId="166" fontId="0" fillId="6" borderId="5" xfId="0" applyNumberFormat="1" applyFill="1" applyBorder="1" applyAlignment="1">
      <alignment horizontal="center"/>
    </xf>
    <xf numFmtId="167" fontId="0" fillId="6" borderId="0" xfId="0" applyNumberFormat="1" applyFill="1" applyBorder="1" applyAlignment="1">
      <alignment horizontal="center"/>
    </xf>
    <xf numFmtId="167" fontId="0" fillId="6" borderId="5" xfId="0" applyNumberFormat="1" applyFill="1" applyBorder="1" applyAlignment="1">
      <alignment horizontal="center"/>
    </xf>
    <xf numFmtId="0" fontId="0" fillId="0" borderId="0" xfId="0" applyBorder="1"/>
    <xf numFmtId="0" fontId="0" fillId="0" borderId="5" xfId="0" applyBorder="1"/>
    <xf numFmtId="0" fontId="0" fillId="5" borderId="6" xfId="0" applyFill="1" applyBorder="1"/>
    <xf numFmtId="0" fontId="0" fillId="7" borderId="7" xfId="0" applyFill="1" applyBorder="1"/>
    <xf numFmtId="0" fontId="0" fillId="2" borderId="7" xfId="0" applyFill="1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9" borderId="0" xfId="0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0" fillId="8" borderId="0" xfId="0" applyFill="1" applyBorder="1" applyAlignment="1"/>
    <xf numFmtId="0" fontId="0" fillId="5" borderId="0" xfId="0" applyFill="1" applyBorder="1"/>
    <xf numFmtId="0" fontId="0" fillId="3" borderId="0" xfId="0" applyFill="1" applyBorder="1"/>
    <xf numFmtId="0" fontId="0" fillId="3" borderId="0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3" borderId="0" xfId="0" applyFill="1" applyBorder="1" applyAlignment="1">
      <alignment horizontal="left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9" borderId="4" xfId="0" applyFill="1" applyBorder="1" applyAlignment="1">
      <alignment horizontal="center"/>
    </xf>
    <xf numFmtId="0" fontId="0" fillId="5" borderId="5" xfId="0" applyFill="1" applyBorder="1"/>
    <xf numFmtId="0" fontId="0" fillId="3" borderId="4" xfId="0" applyFill="1" applyBorder="1"/>
    <xf numFmtId="0" fontId="0" fillId="0" borderId="5" xfId="0" applyBorder="1" applyAlignment="1">
      <alignment horizontal="center"/>
    </xf>
    <xf numFmtId="0" fontId="0" fillId="3" borderId="6" xfId="0" applyFill="1" applyBorder="1"/>
    <xf numFmtId="0" fontId="0" fillId="3" borderId="7" xfId="0" applyFill="1" applyBorder="1" applyAlignment="1">
      <alignment horizontal="center"/>
    </xf>
    <xf numFmtId="0" fontId="0" fillId="3" borderId="7" xfId="0" applyFill="1" applyBorder="1"/>
    <xf numFmtId="0" fontId="0" fillId="4" borderId="7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0FF9D"/>
      <color rgb="FFEC663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0100D2-787F-405F-B26A-6756162863C3}">
  <sheetPr codeName="Sheet1"/>
  <dimension ref="A1:F31"/>
  <sheetViews>
    <sheetView tabSelected="1" workbookViewId="0">
      <selection activeCell="H15" sqref="H15"/>
    </sheetView>
  </sheetViews>
  <sheetFormatPr defaultRowHeight="15" x14ac:dyDescent="0.25"/>
  <cols>
    <col min="1" max="1" width="26" customWidth="1"/>
    <col min="2" max="2" width="20.85546875" customWidth="1"/>
    <col min="3" max="3" width="14.5703125" customWidth="1"/>
    <col min="4" max="4" width="15.42578125" customWidth="1"/>
    <col min="5" max="5" width="14.85546875" customWidth="1"/>
    <col min="6" max="6" width="16" customWidth="1"/>
  </cols>
  <sheetData>
    <row r="1" spans="1:6" x14ac:dyDescent="0.25">
      <c r="A1" s="29" t="s">
        <v>0</v>
      </c>
      <c r="B1" s="30"/>
      <c r="C1" s="30"/>
      <c r="D1" s="30"/>
      <c r="E1" s="30"/>
      <c r="F1" s="31"/>
    </row>
    <row r="2" spans="1:6" x14ac:dyDescent="0.25">
      <c r="A2" s="32" t="s">
        <v>3</v>
      </c>
      <c r="B2" s="21" t="s">
        <v>1</v>
      </c>
      <c r="C2" s="22" t="s">
        <v>2</v>
      </c>
      <c r="D2" s="23" t="s">
        <v>1</v>
      </c>
      <c r="E2" s="24" t="s">
        <v>39</v>
      </c>
      <c r="F2" s="33" t="s">
        <v>41</v>
      </c>
    </row>
    <row r="3" spans="1:6" x14ac:dyDescent="0.25">
      <c r="A3" s="34" t="s">
        <v>4</v>
      </c>
      <c r="B3" s="26">
        <v>2</v>
      </c>
      <c r="C3" s="25" t="s">
        <v>22</v>
      </c>
      <c r="D3" s="27">
        <v>2</v>
      </c>
      <c r="E3" s="28" t="s">
        <v>26</v>
      </c>
      <c r="F3" s="35">
        <v>1</v>
      </c>
    </row>
    <row r="4" spans="1:6" x14ac:dyDescent="0.25">
      <c r="A4" s="34" t="s">
        <v>5</v>
      </c>
      <c r="B4" s="26">
        <v>0</v>
      </c>
      <c r="C4" s="25" t="s">
        <v>23</v>
      </c>
      <c r="D4" s="27">
        <v>4</v>
      </c>
      <c r="E4" s="28" t="s">
        <v>40</v>
      </c>
      <c r="F4" s="35">
        <v>0</v>
      </c>
    </row>
    <row r="5" spans="1:6" x14ac:dyDescent="0.25">
      <c r="A5" s="34" t="s">
        <v>6</v>
      </c>
      <c r="B5" s="26">
        <v>1</v>
      </c>
      <c r="C5" s="25" t="s">
        <v>24</v>
      </c>
      <c r="D5" s="27">
        <v>3</v>
      </c>
      <c r="E5" s="28" t="s">
        <v>28</v>
      </c>
      <c r="F5" s="35">
        <v>0</v>
      </c>
    </row>
    <row r="6" spans="1:6" x14ac:dyDescent="0.25">
      <c r="A6" s="34" t="s">
        <v>7</v>
      </c>
      <c r="B6" s="26">
        <v>3</v>
      </c>
      <c r="C6" s="25" t="s">
        <v>25</v>
      </c>
      <c r="D6" s="27">
        <v>3</v>
      </c>
      <c r="E6" s="25"/>
      <c r="F6" s="15"/>
    </row>
    <row r="7" spans="1:6" x14ac:dyDescent="0.25">
      <c r="A7" s="34" t="s">
        <v>8</v>
      </c>
      <c r="B7" s="26">
        <v>0</v>
      </c>
      <c r="C7" s="25" t="s">
        <v>18</v>
      </c>
      <c r="D7" s="27">
        <v>3</v>
      </c>
      <c r="E7" s="25"/>
      <c r="F7" s="15"/>
    </row>
    <row r="8" spans="1:6" x14ac:dyDescent="0.25">
      <c r="A8" s="34" t="s">
        <v>9</v>
      </c>
      <c r="B8" s="26">
        <v>0</v>
      </c>
      <c r="C8" s="25" t="s">
        <v>26</v>
      </c>
      <c r="D8" s="27">
        <v>0</v>
      </c>
      <c r="E8" s="25"/>
      <c r="F8" s="15"/>
    </row>
    <row r="9" spans="1:6" x14ac:dyDescent="0.25">
      <c r="A9" s="34" t="s">
        <v>10</v>
      </c>
      <c r="B9" s="26">
        <v>0</v>
      </c>
      <c r="C9" s="25" t="s">
        <v>27</v>
      </c>
      <c r="D9" s="27">
        <v>4</v>
      </c>
      <c r="E9" s="25"/>
      <c r="F9" s="15"/>
    </row>
    <row r="10" spans="1:6" x14ac:dyDescent="0.25">
      <c r="A10" s="34" t="s">
        <v>11</v>
      </c>
      <c r="B10" s="26">
        <v>1</v>
      </c>
      <c r="C10" s="25" t="s">
        <v>28</v>
      </c>
      <c r="D10" s="27">
        <v>4</v>
      </c>
      <c r="E10" s="25"/>
      <c r="F10" s="15"/>
    </row>
    <row r="11" spans="1:6" x14ac:dyDescent="0.25">
      <c r="A11" s="34" t="s">
        <v>12</v>
      </c>
      <c r="B11" s="26">
        <v>3</v>
      </c>
      <c r="C11" s="25" t="s">
        <v>29</v>
      </c>
      <c r="D11" s="27">
        <v>0</v>
      </c>
      <c r="E11" s="25"/>
      <c r="F11" s="15"/>
    </row>
    <row r="12" spans="1:6" x14ac:dyDescent="0.25">
      <c r="A12" s="34" t="s">
        <v>13</v>
      </c>
      <c r="B12" s="26">
        <v>2</v>
      </c>
      <c r="C12" s="25" t="s">
        <v>30</v>
      </c>
      <c r="D12" s="27">
        <v>0</v>
      </c>
      <c r="E12" s="25"/>
      <c r="F12" s="15"/>
    </row>
    <row r="13" spans="1:6" x14ac:dyDescent="0.25">
      <c r="A13" s="34" t="s">
        <v>14</v>
      </c>
      <c r="B13" s="26">
        <v>0</v>
      </c>
      <c r="C13" s="25" t="s">
        <v>31</v>
      </c>
      <c r="D13" s="27">
        <v>0</v>
      </c>
      <c r="E13" s="25"/>
      <c r="F13" s="15"/>
    </row>
    <row r="14" spans="1:6" x14ac:dyDescent="0.25">
      <c r="A14" s="34" t="s">
        <v>15</v>
      </c>
      <c r="B14" s="26">
        <v>3</v>
      </c>
      <c r="C14" s="25" t="s">
        <v>32</v>
      </c>
      <c r="D14" s="27">
        <v>3</v>
      </c>
      <c r="E14" s="25"/>
      <c r="F14" s="15"/>
    </row>
    <row r="15" spans="1:6" x14ac:dyDescent="0.25">
      <c r="A15" s="34" t="s">
        <v>16</v>
      </c>
      <c r="B15" s="26">
        <v>1</v>
      </c>
      <c r="C15" s="25" t="s">
        <v>33</v>
      </c>
      <c r="D15" s="27">
        <v>2</v>
      </c>
      <c r="E15" s="25"/>
      <c r="F15" s="15"/>
    </row>
    <row r="16" spans="1:6" x14ac:dyDescent="0.25">
      <c r="A16" s="34" t="s">
        <v>17</v>
      </c>
      <c r="B16" s="26">
        <v>1</v>
      </c>
      <c r="C16" s="25" t="s">
        <v>34</v>
      </c>
      <c r="D16" s="27">
        <v>3</v>
      </c>
      <c r="E16" s="25"/>
      <c r="F16" s="15"/>
    </row>
    <row r="17" spans="1:6" x14ac:dyDescent="0.25">
      <c r="A17" s="34" t="s">
        <v>18</v>
      </c>
      <c r="B17" s="26">
        <v>3</v>
      </c>
      <c r="C17" s="25" t="s">
        <v>35</v>
      </c>
      <c r="D17" s="27">
        <v>0</v>
      </c>
      <c r="E17" s="25"/>
      <c r="F17" s="15"/>
    </row>
    <row r="18" spans="1:6" ht="15.75" thickBot="1" x14ac:dyDescent="0.3">
      <c r="A18" s="36" t="s">
        <v>19</v>
      </c>
      <c r="B18" s="37">
        <v>0</v>
      </c>
      <c r="C18" s="38" t="s">
        <v>36</v>
      </c>
      <c r="D18" s="39">
        <v>1</v>
      </c>
      <c r="E18" s="38"/>
      <c r="F18" s="20"/>
    </row>
    <row r="19" spans="1:6" ht="15.75" thickBot="1" x14ac:dyDescent="0.3"/>
    <row r="20" spans="1:6" x14ac:dyDescent="0.25">
      <c r="A20" s="1" t="s">
        <v>21</v>
      </c>
      <c r="B20" s="2" t="s">
        <v>20</v>
      </c>
      <c r="C20" s="3" t="s">
        <v>38</v>
      </c>
      <c r="D20" s="3"/>
      <c r="E20" s="4" t="s">
        <v>37</v>
      </c>
      <c r="F20" s="5"/>
    </row>
    <row r="21" spans="1:6" x14ac:dyDescent="0.25">
      <c r="A21" s="6" t="str" cm="1">
        <f t="array" ref="A21:A26">_xlfn._xlws.FILTER(A2:A18, B2:B18=0, "All items in stock")</f>
        <v>Matcha Iced/Milktea</v>
      </c>
      <c r="B21" s="7" t="str" cm="1">
        <f t="array" ref="B21:B25">_xlfn._xlws.FILTER(C3:C18,D3:D18=0,"All items in Stock")</f>
        <v>Chocolate</v>
      </c>
      <c r="C21" s="8" t="str" cm="1">
        <f t="array" ref="C21:C22">_xlfn._xlws.FILTER(E3:E5, F3:F5=0, "Stocks Available")</f>
        <v>Strawbery</v>
      </c>
      <c r="D21" s="9"/>
      <c r="E21" s="10">
        <f ca="1">NOW()</f>
        <v>45880.593212268519</v>
      </c>
      <c r="F21" s="11"/>
    </row>
    <row r="22" spans="1:6" x14ac:dyDescent="0.25">
      <c r="A22" s="6" t="str">
        <v>Cherry Blossom/Strawberry</v>
      </c>
      <c r="B22" s="7" t="str">
        <v>Passion Fruit</v>
      </c>
      <c r="C22" s="8" t="str">
        <v>Caramel</v>
      </c>
      <c r="D22" s="9"/>
      <c r="E22" s="12">
        <f ca="1">NOW()</f>
        <v>45880.593212268519</v>
      </c>
      <c r="F22" s="13"/>
    </row>
    <row r="23" spans="1:6" x14ac:dyDescent="0.25">
      <c r="A23" s="6" t="str">
        <v>Cookie Dough</v>
      </c>
      <c r="B23" s="7" t="str">
        <v>Blueberry</v>
      </c>
      <c r="C23" s="9"/>
      <c r="D23" s="9"/>
      <c r="E23" s="14"/>
      <c r="F23" s="15"/>
    </row>
    <row r="24" spans="1:6" x14ac:dyDescent="0.25">
      <c r="A24" s="6" t="str">
        <v>Creamy Avocado</v>
      </c>
      <c r="B24" s="7" t="str">
        <v>Green Apple</v>
      </c>
      <c r="C24" s="9"/>
      <c r="D24" s="9"/>
      <c r="E24" s="14"/>
      <c r="F24" s="15"/>
    </row>
    <row r="25" spans="1:6" x14ac:dyDescent="0.25">
      <c r="A25" s="6" t="str">
        <v>Okinawa sugar</v>
      </c>
      <c r="B25" s="7" t="str">
        <v>Peach Mango</v>
      </c>
      <c r="C25" s="9"/>
      <c r="D25" s="9"/>
      <c r="E25" s="14"/>
      <c r="F25" s="15"/>
    </row>
    <row r="26" spans="1:6" x14ac:dyDescent="0.25">
      <c r="A26" s="6" t="str">
        <v>Matcha Base</v>
      </c>
      <c r="B26" s="7"/>
      <c r="C26" s="9"/>
      <c r="D26" s="9"/>
      <c r="E26" s="14"/>
      <c r="F26" s="15"/>
    </row>
    <row r="27" spans="1:6" x14ac:dyDescent="0.25">
      <c r="A27" s="6"/>
      <c r="B27" s="7"/>
      <c r="C27" s="9"/>
      <c r="D27" s="9"/>
      <c r="E27" s="14"/>
      <c r="F27" s="15"/>
    </row>
    <row r="28" spans="1:6" x14ac:dyDescent="0.25">
      <c r="A28" s="6"/>
      <c r="B28" s="7"/>
      <c r="C28" s="9"/>
      <c r="D28" s="9"/>
      <c r="E28" s="14"/>
      <c r="F28" s="15"/>
    </row>
    <row r="29" spans="1:6" x14ac:dyDescent="0.25">
      <c r="A29" s="6"/>
      <c r="B29" s="7"/>
      <c r="C29" s="9"/>
      <c r="D29" s="9"/>
      <c r="E29" s="14"/>
      <c r="F29" s="15"/>
    </row>
    <row r="30" spans="1:6" x14ac:dyDescent="0.25">
      <c r="A30" s="6"/>
      <c r="B30" s="7"/>
      <c r="C30" s="9"/>
      <c r="D30" s="9"/>
      <c r="E30" s="14"/>
      <c r="F30" s="15"/>
    </row>
    <row r="31" spans="1:6" ht="15.75" thickBot="1" x14ac:dyDescent="0.3">
      <c r="A31" s="16"/>
      <c r="B31" s="17"/>
      <c r="C31" s="18"/>
      <c r="D31" s="18"/>
      <c r="E31" s="19"/>
      <c r="F31" s="20"/>
    </row>
  </sheetData>
  <mergeCells count="5">
    <mergeCell ref="E20:F20"/>
    <mergeCell ref="E21:F21"/>
    <mergeCell ref="E22:F22"/>
    <mergeCell ref="C20:D20"/>
    <mergeCell ref="A1:F1"/>
  </mergeCells>
  <conditionalFormatting sqref="B3:B18">
    <cfRule type="colorScale" priority="3">
      <colorScale>
        <cfvo type="min"/>
        <cfvo type="max"/>
        <color rgb="FFEC663C"/>
        <color rgb="FFC0FF9D"/>
      </colorScale>
    </cfRule>
    <cfRule type="colorScale" priority="4">
      <colorScale>
        <cfvo type="min"/>
        <cfvo type="max"/>
        <color rgb="FFFF0000"/>
        <color rgb="FF00B050"/>
      </colorScale>
    </cfRule>
    <cfRule type="colorScale" priority="5">
      <colorScale>
        <cfvo type="min"/>
        <cfvo type="max"/>
        <color theme="5" tint="-0.499984740745262"/>
        <color theme="5"/>
      </colorScale>
    </cfRule>
    <cfRule type="colorScale" priority="6">
      <colorScale>
        <cfvo type="min"/>
        <cfvo type="max"/>
        <color rgb="FFFF0000"/>
        <color theme="9"/>
      </colorScale>
    </cfRule>
  </conditionalFormatting>
  <conditionalFormatting sqref="D3:D18">
    <cfRule type="colorScale" priority="2">
      <colorScale>
        <cfvo type="min"/>
        <cfvo type="max"/>
        <color rgb="FFEC663C"/>
        <color rgb="FFC0FF9D"/>
      </colorScale>
    </cfRule>
  </conditionalFormatting>
  <conditionalFormatting sqref="F3:F5">
    <cfRule type="colorScale" priority="1">
      <colorScale>
        <cfvo type="min"/>
        <cfvo type="max"/>
        <color rgb="FFEC663C"/>
        <color rgb="FFC0FF9D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Patrick  Fernandez</dc:creator>
  <cp:lastModifiedBy>John Patrick  Fernandez</cp:lastModifiedBy>
  <dcterms:created xsi:type="dcterms:W3CDTF">2025-08-11T04:52:33Z</dcterms:created>
  <dcterms:modified xsi:type="dcterms:W3CDTF">2025-08-11T06:15:32Z</dcterms:modified>
</cp:coreProperties>
</file>